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AHELY\Documents\CICLO 10\CURSO INTEGRADOR II\"/>
    </mc:Choice>
  </mc:AlternateContent>
  <xr:revisionPtr revIDLastSave="0" documentId="8_{155FC4A6-5AF1-4F9F-A6FC-27750C572B9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SPRINT 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3" l="1"/>
  <c r="E23" i="3"/>
  <c r="E24" i="3" s="1"/>
  <c r="E25" i="3" s="1"/>
  <c r="E19" i="3"/>
  <c r="E20" i="3" s="1"/>
  <c r="E21" i="3" s="1"/>
  <c r="E18" i="3"/>
  <c r="C22" i="1"/>
  <c r="G10" i="3"/>
  <c r="J4" i="3" s="1"/>
  <c r="H4" i="1"/>
  <c r="C27" i="1"/>
  <c r="C19" i="1"/>
  <c r="E7" i="1"/>
  <c r="E16" i="3" l="1"/>
  <c r="D15" i="3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<sst xmlns="http://schemas.openxmlformats.org/spreadsheetml/2006/main" count="39" uniqueCount="15">
  <si>
    <t>(Estimaciones con el Planing Pocket)</t>
  </si>
  <si>
    <t>Product Backlog</t>
  </si>
  <si>
    <t xml:space="preserve">Sprint Planing </t>
  </si>
  <si>
    <t>Story Point (horas)</t>
  </si>
  <si>
    <t>HU-1</t>
  </si>
  <si>
    <t>HU-2</t>
  </si>
  <si>
    <t>Factor</t>
  </si>
  <si>
    <t>HU-3</t>
  </si>
  <si>
    <t>HU-4</t>
  </si>
  <si>
    <t>HU-5</t>
  </si>
  <si>
    <t>Total</t>
  </si>
  <si>
    <t>Planificado</t>
  </si>
  <si>
    <t>Real</t>
  </si>
  <si>
    <t>HU-6</t>
  </si>
  <si>
    <t>HU-7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</si>
</sst>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2" fontId="0" fillId="0" borderId="1" xfId="0" applyNumberFormat="1" applyBorder="1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Burdown</a:t>
            </a:r>
            <a:r>
              <a:rPr lang="es-PE" baseline="0"/>
              <a:t> Chart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Hoja1!$B$15</c:f>
              <c:strCache>
                <c:ptCount val="1"/>
                <c:pt idx="0">
                  <c:v>Planificado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Hoja1!$B$16:$B$30</c:f>
              <c:numCache>
                <c:formatCode>0.00</c:formatCode>
                <c:ptCount val="15"/>
                <c:pt idx="0">
                  <c:v>242.66666666666666</c:v>
                </c:pt>
                <c:pt idx="1">
                  <c:v>225.33333333333331</c:v>
                </c:pt>
                <c:pt idx="2">
                  <c:v>207.99999999999997</c:v>
                </c:pt>
                <c:pt idx="3">
                  <c:v>190.66666666666663</c:v>
                </c:pt>
                <c:pt idx="4">
                  <c:v>173.33333333333329</c:v>
                </c:pt>
                <c:pt idx="5">
                  <c:v>155.99999999999994</c:v>
                </c:pt>
                <c:pt idx="6">
                  <c:v>138.6666666666666</c:v>
                </c:pt>
                <c:pt idx="7">
                  <c:v>121.33333333333327</c:v>
                </c:pt>
                <c:pt idx="8">
                  <c:v>103.99999999999994</c:v>
                </c:pt>
                <c:pt idx="9">
                  <c:v>86.666666666666615</c:v>
                </c:pt>
                <c:pt idx="10">
                  <c:v>69.333333333333286</c:v>
                </c:pt>
                <c:pt idx="11">
                  <c:v>51.999999999999957</c:v>
                </c:pt>
                <c:pt idx="12">
                  <c:v>34.666666666666629</c:v>
                </c:pt>
                <c:pt idx="13">
                  <c:v>17.333333333333297</c:v>
                </c:pt>
                <c:pt idx="14">
                  <c:v>-3.5527136788005009E-14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6-485A-97AE-106E390D48A4}"/>
            </c:ext>
          </c:extLst>
        </c:ser>
        <c:ser>
          <c:idx val="1"/>
          <c:order val="1"/>
          <c:tx>
            <c:strRef>
              <c:f>Hoja1!$C$15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Hoja1!$C$16:$C$30</c:f>
              <c:numCache>
                <c:formatCode>General</c:formatCode>
                <c:ptCount val="15"/>
                <c:pt idx="0">
                  <c:v>260</c:v>
                </c:pt>
                <c:pt idx="1">
                  <c:v>260</c:v>
                </c:pt>
                <c:pt idx="2">
                  <c:v>260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6-485A-97AE-106E390D4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39951"/>
        <c:axId val="209041199"/>
      </c:lineChart>
      <c:catAx>
        <c:axId val="209039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041199"/>
        <c:crosses val="autoZero"/>
        <c:auto val="1"/>
        <c:lblAlgn val="ctr"/>
        <c:lblOffset val="100"/>
        <c:noMultiLvlLbl val="0"/>
      </c:catAx>
      <c:valAx>
        <c:axId val="20904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03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Burdown</a:t>
            </a:r>
            <a:r>
              <a:rPr lang="es-PE" baseline="0"/>
              <a:t> Chart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1'!$D$14</c:f>
              <c:strCache>
                <c:ptCount val="1"/>
                <c:pt idx="0">
                  <c:v>Planificado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1'!$D$15:$D$25</c:f>
              <c:numCache>
                <c:formatCode>0.00</c:formatCode>
                <c:ptCount val="11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72</c:v>
                </c:pt>
                <c:pt idx="4">
                  <c:v>64</c:v>
                </c:pt>
                <c:pt idx="5">
                  <c:v>56</c:v>
                </c:pt>
                <c:pt idx="6">
                  <c:v>48</c:v>
                </c:pt>
                <c:pt idx="7">
                  <c:v>40</c:v>
                </c:pt>
                <c:pt idx="8">
                  <c:v>32</c:v>
                </c:pt>
                <c:pt idx="9">
                  <c:v>24</c:v>
                </c:pt>
                <c:pt idx="1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2-4189-898E-AC401BABFE8C}"/>
            </c:ext>
          </c:extLst>
        </c:ser>
        <c:ser>
          <c:idx val="1"/>
          <c:order val="1"/>
          <c:tx>
            <c:strRef>
              <c:f>'SPRINT 1'!$E$14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1'!$E$15:$E$25</c:f>
              <c:numCache>
                <c:formatCode>General</c:formatCode>
                <c:ptCount val="11"/>
                <c:pt idx="0">
                  <c:v>104</c:v>
                </c:pt>
                <c:pt idx="1">
                  <c:v>88</c:v>
                </c:pt>
                <c:pt idx="2">
                  <c:v>88</c:v>
                </c:pt>
                <c:pt idx="3">
                  <c:v>72</c:v>
                </c:pt>
                <c:pt idx="4">
                  <c:v>64</c:v>
                </c:pt>
                <c:pt idx="5">
                  <c:v>64</c:v>
                </c:pt>
                <c:pt idx="6">
                  <c:v>48</c:v>
                </c:pt>
                <c:pt idx="7">
                  <c:v>48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2-4189-898E-AC401BABF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39951"/>
        <c:axId val="209041199"/>
      </c:lineChart>
      <c:catAx>
        <c:axId val="209039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041199"/>
        <c:crosses val="autoZero"/>
        <c:auto val="1"/>
        <c:lblAlgn val="ctr"/>
        <c:lblOffset val="100"/>
        <c:noMultiLvlLbl val="0"/>
      </c:catAx>
      <c:valAx>
        <c:axId val="20904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03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1304924</xdr:colOff>
      <xdr:row>13</xdr:row>
      <xdr:rowOff>180974</xdr:rowOff>
    </xdr:from>
    <xdr:to>
      <xdr:col>10</xdr:col>
      <xdr:colOff>276224</xdr:colOff>
      <xdr:row>30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</xdr:row>
      <xdr:rowOff>180974</xdr:rowOff>
    </xdr:from>
    <xdr:to>
      <xdr:col>12</xdr:col>
      <xdr:colOff>152401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22C907-9D97-4E04-AEAB-E21F20455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C27" sqref="C27"/>
    </sheetView>
  </sheetViews>
  <sheetFormatPr baseColWidth="10" defaultColWidth="11.42578125" defaultRowHeight="15" x14ac:dyDescent="0.25"/>
  <cols>
    <col min="2" max="2" width="18.5703125" customWidth="1"/>
    <col min="4" max="4" width="19.7109375" customWidth="1"/>
    <col min="5" max="5" width="18.140625" customWidth="1"/>
  </cols>
  <sheetData>
    <row r="1" spans="1:8" x14ac:dyDescent="0.25">
      <c r="D1" t="s">
        <v>0</v>
      </c>
    </row>
    <row r="2" spans="1:8" x14ac:dyDescent="0.25">
      <c r="B2" s="5" t="s">
        <v>1</v>
      </c>
      <c r="D2" s="1" t="s">
        <v>2</v>
      </c>
      <c r="E2" s="1" t="s">
        <v>3</v>
      </c>
    </row>
    <row r="3" spans="1:8" x14ac:dyDescent="0.25">
      <c r="B3" s="5" t="s">
        <v>4</v>
      </c>
      <c r="D3" s="2" t="s">
        <v>4</v>
      </c>
      <c r="E3" s="1">
        <v>30</v>
      </c>
    </row>
    <row r="4" spans="1:8" x14ac:dyDescent="0.25">
      <c r="B4" s="5" t="s">
        <v>5</v>
      </c>
      <c r="D4" s="2" t="s">
        <v>5</v>
      </c>
      <c r="E4" s="1">
        <v>80</v>
      </c>
      <c r="G4" s="3" t="s">
        <v>6</v>
      </c>
      <c r="H4" s="3">
        <f>+E7/15</f>
        <v>17.333333333333332</v>
      </c>
    </row>
    <row r="5" spans="1:8" x14ac:dyDescent="0.25">
      <c r="B5" s="5" t="s">
        <v>7</v>
      </c>
      <c r="D5" s="2" t="s">
        <v>7</v>
      </c>
      <c r="E5" s="1">
        <v>60</v>
      </c>
    </row>
    <row r="6" spans="1:8" x14ac:dyDescent="0.25">
      <c r="B6" s="5" t="s">
        <v>8</v>
      </c>
      <c r="D6" s="2" t="s">
        <v>8</v>
      </c>
      <c r="E6" s="1">
        <v>90</v>
      </c>
    </row>
    <row r="7" spans="1:8" x14ac:dyDescent="0.25">
      <c r="B7" s="5" t="s">
        <v>9</v>
      </c>
      <c r="D7" s="3" t="s">
        <v>10</v>
      </c>
      <c r="E7" s="3">
        <f>+SUM(E3:E6)</f>
        <v>260</v>
      </c>
    </row>
    <row r="15" spans="1:8" x14ac:dyDescent="0.25">
      <c r="A15" s="3"/>
      <c r="B15" s="3" t="s">
        <v>11</v>
      </c>
      <c r="C15" s="3" t="s">
        <v>12</v>
      </c>
    </row>
    <row r="16" spans="1:8" x14ac:dyDescent="0.25">
      <c r="A16" s="1">
        <v>1</v>
      </c>
      <c r="B16" s="4">
        <f>+E7-$H$4</f>
        <v>242.66666666666666</v>
      </c>
      <c r="C16" s="1">
        <v>260</v>
      </c>
    </row>
    <row r="17" spans="1:3" x14ac:dyDescent="0.25">
      <c r="A17" s="1">
        <v>2</v>
      </c>
      <c r="B17" s="4">
        <f>+B16-$H$4</f>
        <v>225.33333333333331</v>
      </c>
      <c r="C17" s="1">
        <v>260</v>
      </c>
    </row>
    <row r="18" spans="1:3" x14ac:dyDescent="0.25">
      <c r="A18" s="1">
        <v>3</v>
      </c>
      <c r="B18" s="4">
        <f t="shared" ref="B18:B30" si="0">+B17-$H$4</f>
        <v>207.99999999999997</v>
      </c>
      <c r="C18" s="1">
        <v>260</v>
      </c>
    </row>
    <row r="19" spans="1:3" x14ac:dyDescent="0.25">
      <c r="A19" s="1">
        <v>4</v>
      </c>
      <c r="B19" s="4">
        <f t="shared" si="0"/>
        <v>190.66666666666663</v>
      </c>
      <c r="C19" s="1">
        <f>260-E3</f>
        <v>230</v>
      </c>
    </row>
    <row r="20" spans="1:3" x14ac:dyDescent="0.25">
      <c r="A20" s="1">
        <v>5</v>
      </c>
      <c r="B20" s="4">
        <f t="shared" si="0"/>
        <v>173.33333333333329</v>
      </c>
      <c r="C20" s="1">
        <v>230</v>
      </c>
    </row>
    <row r="21" spans="1:3" x14ac:dyDescent="0.25">
      <c r="A21" s="1">
        <v>6</v>
      </c>
      <c r="B21" s="4">
        <f t="shared" si="0"/>
        <v>155.99999999999994</v>
      </c>
      <c r="C21" s="1">
        <v>230</v>
      </c>
    </row>
    <row r="22" spans="1:3" x14ac:dyDescent="0.25">
      <c r="A22" s="1">
        <v>7</v>
      </c>
      <c r="B22" s="4">
        <f t="shared" si="0"/>
        <v>138.6666666666666</v>
      </c>
      <c r="C22" s="1">
        <f>+C21-E4</f>
        <v>150</v>
      </c>
    </row>
    <row r="23" spans="1:3" x14ac:dyDescent="0.25">
      <c r="A23" s="1">
        <v>8</v>
      </c>
      <c r="B23" s="4">
        <f t="shared" si="0"/>
        <v>121.33333333333327</v>
      </c>
      <c r="C23" s="1">
        <v>150</v>
      </c>
    </row>
    <row r="24" spans="1:3" x14ac:dyDescent="0.25">
      <c r="A24" s="1">
        <v>9</v>
      </c>
      <c r="B24" s="4">
        <f t="shared" si="0"/>
        <v>103.99999999999994</v>
      </c>
      <c r="C24" s="1">
        <v>150</v>
      </c>
    </row>
    <row r="25" spans="1:3" x14ac:dyDescent="0.25">
      <c r="A25" s="1">
        <v>10</v>
      </c>
      <c r="B25" s="4">
        <f t="shared" si="0"/>
        <v>86.666666666666615</v>
      </c>
      <c r="C25" s="1">
        <v>150</v>
      </c>
    </row>
    <row r="26" spans="1:3" x14ac:dyDescent="0.25">
      <c r="A26" s="1">
        <v>11</v>
      </c>
      <c r="B26" s="4">
        <f t="shared" si="0"/>
        <v>69.333333333333286</v>
      </c>
      <c r="C26" s="1">
        <v>150</v>
      </c>
    </row>
    <row r="27" spans="1:3" x14ac:dyDescent="0.25">
      <c r="A27" s="1">
        <v>12</v>
      </c>
      <c r="B27" s="4">
        <f t="shared" si="0"/>
        <v>51.999999999999957</v>
      </c>
      <c r="C27" s="1">
        <f>+C26-E5</f>
        <v>90</v>
      </c>
    </row>
    <row r="28" spans="1:3" x14ac:dyDescent="0.25">
      <c r="A28" s="1">
        <v>13</v>
      </c>
      <c r="B28" s="4">
        <f t="shared" si="0"/>
        <v>34.666666666666629</v>
      </c>
      <c r="C28" s="1">
        <v>90</v>
      </c>
    </row>
    <row r="29" spans="1:3" x14ac:dyDescent="0.25">
      <c r="A29" s="1">
        <v>14</v>
      </c>
      <c r="B29" s="4">
        <f t="shared" si="0"/>
        <v>17.333333333333297</v>
      </c>
      <c r="C29" s="1">
        <v>90</v>
      </c>
    </row>
    <row r="30" spans="1:3" x14ac:dyDescent="0.25">
      <c r="A30" s="1">
        <v>15</v>
      </c>
      <c r="B30" s="4">
        <f t="shared" si="0"/>
        <v>-3.5527136788005009E-14</v>
      </c>
      <c r="C30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6725-BB80-47D7-B06B-AD94EAC4F53F}">
  <sheetPr>
    <pageSetUpPr fitToPage="1"/>
  </sheetPr>
  <dimension ref="B1:J27"/>
  <sheetViews>
    <sheetView tabSelected="1" workbookViewId="0">
      <selection activeCell="M11" sqref="M11"/>
    </sheetView>
  </sheetViews>
  <sheetFormatPr baseColWidth="10" defaultColWidth="11.42578125" defaultRowHeight="15" x14ac:dyDescent="0.25"/>
  <cols>
    <col min="4" max="4" width="18.5703125" customWidth="1"/>
    <col min="6" max="6" width="19.7109375" customWidth="1"/>
    <col min="7" max="7" width="18.140625" customWidth="1"/>
  </cols>
  <sheetData>
    <row r="1" spans="2:10" x14ac:dyDescent="0.25">
      <c r="F1" t="s">
        <v>0</v>
      </c>
    </row>
    <row r="2" spans="2:10" x14ac:dyDescent="0.25">
      <c r="D2" s="5" t="s">
        <v>1</v>
      </c>
      <c r="F2" s="1" t="s">
        <v>2</v>
      </c>
      <c r="G2" s="1" t="s">
        <v>3</v>
      </c>
    </row>
    <row r="3" spans="2:10" x14ac:dyDescent="0.25">
      <c r="D3" s="5" t="s">
        <v>4</v>
      </c>
      <c r="F3" s="2" t="s">
        <v>4</v>
      </c>
      <c r="G3" s="1">
        <v>16</v>
      </c>
    </row>
    <row r="4" spans="2:10" x14ac:dyDescent="0.25">
      <c r="D4" s="5" t="s">
        <v>5</v>
      </c>
      <c r="F4" s="2" t="s">
        <v>5</v>
      </c>
      <c r="G4" s="1">
        <v>16</v>
      </c>
      <c r="I4" s="3" t="s">
        <v>6</v>
      </c>
      <c r="J4" s="3">
        <f>+G10/13</f>
        <v>8</v>
      </c>
    </row>
    <row r="5" spans="2:10" x14ac:dyDescent="0.25">
      <c r="D5" s="5" t="s">
        <v>7</v>
      </c>
      <c r="F5" s="2" t="s">
        <v>7</v>
      </c>
      <c r="G5" s="1">
        <v>8</v>
      </c>
    </row>
    <row r="6" spans="2:10" x14ac:dyDescent="0.25">
      <c r="D6" s="5" t="s">
        <v>8</v>
      </c>
      <c r="F6" s="2" t="s">
        <v>8</v>
      </c>
      <c r="G6" s="1">
        <v>16</v>
      </c>
    </row>
    <row r="7" spans="2:10" x14ac:dyDescent="0.25">
      <c r="D7" s="5" t="s">
        <v>9</v>
      </c>
      <c r="F7" s="2" t="s">
        <v>9</v>
      </c>
      <c r="G7" s="1">
        <v>16</v>
      </c>
    </row>
    <row r="8" spans="2:10" x14ac:dyDescent="0.25">
      <c r="D8" s="5" t="s">
        <v>13</v>
      </c>
      <c r="F8" s="2" t="s">
        <v>13</v>
      </c>
      <c r="G8" s="1">
        <v>16</v>
      </c>
    </row>
    <row r="9" spans="2:10" x14ac:dyDescent="0.25">
      <c r="D9" s="5" t="s">
        <v>14</v>
      </c>
      <c r="F9" s="2" t="s">
        <v>14</v>
      </c>
      <c r="G9" s="1">
        <v>16</v>
      </c>
    </row>
    <row r="10" spans="2:10" x14ac:dyDescent="0.25">
      <c r="F10" s="3" t="s">
        <v>10</v>
      </c>
      <c r="G10" s="3">
        <f>+SUM(G3:G9)</f>
        <v>104</v>
      </c>
    </row>
    <row r="14" spans="2:10" x14ac:dyDescent="0.25">
      <c r="C14" s="3"/>
      <c r="D14" s="3" t="s">
        <v>11</v>
      </c>
      <c r="E14" s="3" t="s">
        <v>12</v>
      </c>
    </row>
    <row r="15" spans="2:10" x14ac:dyDescent="0.25">
      <c r="B15" s="6">
        <v>45150</v>
      </c>
      <c r="C15" s="1">
        <v>1</v>
      </c>
      <c r="D15" s="4">
        <f>+G10-$J$4</f>
        <v>96</v>
      </c>
      <c r="E15" s="1">
        <v>104</v>
      </c>
    </row>
    <row r="16" spans="2:10" x14ac:dyDescent="0.25">
      <c r="B16" s="6">
        <v>45161</v>
      </c>
      <c r="C16" s="1">
        <v>2</v>
      </c>
      <c r="D16" s="4">
        <f>+D15-$J$4</f>
        <v>88</v>
      </c>
      <c r="E16" s="1">
        <f>+G10-G3</f>
        <v>88</v>
      </c>
    </row>
    <row r="17" spans="2:5" x14ac:dyDescent="0.25">
      <c r="B17" s="6">
        <v>45162</v>
      </c>
      <c r="C17" s="1">
        <v>3</v>
      </c>
      <c r="D17" s="4">
        <f>+D16-$J$4</f>
        <v>80</v>
      </c>
      <c r="E17" s="1">
        <v>88</v>
      </c>
    </row>
    <row r="18" spans="2:5" x14ac:dyDescent="0.25">
      <c r="B18" s="6">
        <v>45163</v>
      </c>
      <c r="C18" s="1">
        <v>4</v>
      </c>
      <c r="D18" s="4">
        <f>+D17-$J$4</f>
        <v>72</v>
      </c>
      <c r="E18" s="1">
        <f>+E17-G4</f>
        <v>72</v>
      </c>
    </row>
    <row r="19" spans="2:5" x14ac:dyDescent="0.25">
      <c r="B19" s="6">
        <v>45164</v>
      </c>
      <c r="C19" s="1">
        <v>5</v>
      </c>
      <c r="D19" s="4">
        <f>+D18-$J$4</f>
        <v>64</v>
      </c>
      <c r="E19" s="1">
        <f>+E18-G5</f>
        <v>64</v>
      </c>
    </row>
    <row r="20" spans="2:5" x14ac:dyDescent="0.25">
      <c r="B20" s="6">
        <v>45166</v>
      </c>
      <c r="C20" s="1">
        <v>6</v>
      </c>
      <c r="D20" s="4">
        <f>+D19-$J$4</f>
        <v>56</v>
      </c>
      <c r="E20" s="1">
        <f>+E19</f>
        <v>64</v>
      </c>
    </row>
    <row r="21" spans="2:5" x14ac:dyDescent="0.25">
      <c r="B21" s="6">
        <v>45167</v>
      </c>
      <c r="C21" s="1">
        <v>7</v>
      </c>
      <c r="D21" s="4">
        <f>+D20-$J$4</f>
        <v>48</v>
      </c>
      <c r="E21" s="1">
        <f>+E20-G6</f>
        <v>48</v>
      </c>
    </row>
    <row r="22" spans="2:5" x14ac:dyDescent="0.25">
      <c r="B22" s="6">
        <v>45168</v>
      </c>
      <c r="C22" s="1">
        <v>8</v>
      </c>
      <c r="D22" s="4">
        <f>+D21-$J$4</f>
        <v>40</v>
      </c>
      <c r="E22" s="1">
        <v>48</v>
      </c>
    </row>
    <row r="23" spans="2:5" x14ac:dyDescent="0.25">
      <c r="B23" s="6">
        <v>45169</v>
      </c>
      <c r="C23" s="1">
        <v>9</v>
      </c>
      <c r="D23" s="4">
        <f>+D22-$J$4</f>
        <v>32</v>
      </c>
      <c r="E23" s="1">
        <f>+E22-G7</f>
        <v>32</v>
      </c>
    </row>
    <row r="24" spans="2:5" x14ac:dyDescent="0.25">
      <c r="B24" s="6">
        <v>45170</v>
      </c>
      <c r="C24" s="1">
        <v>10</v>
      </c>
      <c r="D24" s="4">
        <f>+D23-$J$4</f>
        <v>24</v>
      </c>
      <c r="E24" s="1">
        <f>+E23</f>
        <v>32</v>
      </c>
    </row>
    <row r="25" spans="2:5" x14ac:dyDescent="0.25">
      <c r="B25" s="6">
        <v>45171</v>
      </c>
      <c r="C25" s="1">
        <v>11</v>
      </c>
      <c r="D25" s="4">
        <f>+D24-$J$4</f>
        <v>16</v>
      </c>
      <c r="E25" s="1">
        <f>+E24-G8</f>
        <v>16</v>
      </c>
    </row>
    <row r="26" spans="2:5" x14ac:dyDescent="0.25">
      <c r="B26" s="6">
        <v>45173</v>
      </c>
      <c r="C26" s="1">
        <v>12</v>
      </c>
      <c r="D26" s="4">
        <f>+D25-$J$4</f>
        <v>8</v>
      </c>
      <c r="E26" s="1">
        <v>16</v>
      </c>
    </row>
    <row r="27" spans="2:5" x14ac:dyDescent="0.25">
      <c r="B27" s="6">
        <v>45174</v>
      </c>
      <c r="C27" s="1">
        <v>13</v>
      </c>
      <c r="D27" s="4">
        <f>+D26-$J$4</f>
        <v>0</v>
      </c>
      <c r="E27" s="1">
        <f>+E26-G9</f>
        <v>0</v>
      </c>
    </row>
  </sheetData>
  <phoneticPr fontId="1" type="noConversion"/>
  <pageMargins left="0.7" right="0.7" top="0.75" bottom="0.75" header="0.3" footer="0.3"/>
  <pageSetup paperSize="9" scale="76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8d238d-e327-4b14-9696-b48145ddb895" xsi:nil="true"/>
    <lcf76f155ced4ddcb4097134ff3c332f xmlns="5c5d675c-fc27-4f8a-95a3-5c843a24196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834CA609B41944874046696016AF5D" ma:contentTypeVersion="9" ma:contentTypeDescription="Create a new document." ma:contentTypeScope="" ma:versionID="abfa486afa2580c714d49e10b1753ceb">
  <xsd:schema xmlns:xsd="http://www.w3.org/2001/XMLSchema" xmlns:xs="http://www.w3.org/2001/XMLSchema" xmlns:p="http://schemas.microsoft.com/office/2006/metadata/properties" xmlns:ns2="5c5d675c-fc27-4f8a-95a3-5c843a241962" xmlns:ns3="248d238d-e327-4b14-9696-b48145ddb895" targetNamespace="http://schemas.microsoft.com/office/2006/metadata/properties" ma:root="true" ma:fieldsID="f2e06bda83d71851aff6918031bafaba" ns2:_="" ns3:_="">
    <xsd:import namespace="5c5d675c-fc27-4f8a-95a3-5c843a241962"/>
    <xsd:import namespace="248d238d-e327-4b14-9696-b48145ddb89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d675c-fc27-4f8a-95a3-5c843a24196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bbfff8c-f697-4137-8f4c-35e91af219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238d-e327-4b14-9696-b48145ddb89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93c67d9-ec9d-492a-9a53-e037dc191cd2}" ma:internalName="TaxCatchAll" ma:showField="CatchAllData" ma:web="248d238d-e327-4b14-9696-b48145ddb8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98064F-7E2C-4356-8825-4A472A3BB0DE}">
  <ds:schemaRefs>
    <ds:schemaRef ds:uri="http://schemas.microsoft.com/office/2006/metadata/properties"/>
    <ds:schemaRef ds:uri="http://schemas.microsoft.com/office/infopath/2007/PartnerControls"/>
    <ds:schemaRef ds:uri="248d238d-e327-4b14-9696-b48145ddb895"/>
    <ds:schemaRef ds:uri="5c5d675c-fc27-4f8a-95a3-5c843a241962"/>
  </ds:schemaRefs>
</ds:datastoreItem>
</file>

<file path=customXml/itemProps2.xml><?xml version="1.0" encoding="utf-8"?>
<ds:datastoreItem xmlns:ds="http://schemas.openxmlformats.org/officeDocument/2006/customXml" ds:itemID="{536AADF4-9B41-4A19-A485-2B04CD5807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5d675c-fc27-4f8a-95a3-5c843a241962"/>
    <ds:schemaRef ds:uri="248d238d-e327-4b14-9696-b48145ddb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CABAF7-BF9A-47F7-B2A6-7903032D2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SPRINT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LAB-USR-SJL275-B0304</dc:creator>
  <cp:keywords/>
  <dc:description/>
  <cp:lastModifiedBy>NAHELY</cp:lastModifiedBy>
  <cp:revision/>
  <cp:lastPrinted>2023-10-07T06:24:02Z</cp:lastPrinted>
  <dcterms:created xsi:type="dcterms:W3CDTF">2023-09-16T20:09:17Z</dcterms:created>
  <dcterms:modified xsi:type="dcterms:W3CDTF">2023-10-07T07:01:13Z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0x010100A6834CA609B41944874046696016AF5D</vt:lpwstr>
  </property>
  <property fmtid="{D5CDD505-2E9C-101B-9397-08002B2CF9AE}" pid="3" name="MediaServiceImageTags">
    <vt:lpwstr/>
  </property>
</Properties>
</file>